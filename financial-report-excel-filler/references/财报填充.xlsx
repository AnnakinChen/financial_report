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/>
  <mc:AlternateContent xmlns:mc="http://schemas.openxmlformats.org/markup-compatibility/2006">
    <mc:Choice Requires="x15">
      <x15ac:absPath xmlns:x15ac="http://schemas.microsoft.com/office/spreadsheetml/2010/11/ac" url="/Users/chenyjie/Desktop/"/>
    </mc:Choice>
  </mc:AlternateContent>
  <xr:revisionPtr revIDLastSave="0" documentId="13_ncr:1_{45FF6260-C262-A04A-A444-05C7F88DB74E}" xr6:coauthVersionLast="47" xr6:coauthVersionMax="47" xr10:uidLastSave="{00000000-0000-0000-0000-000000000000}"/>
  <bookViews>
    <workbookView xWindow="0" yWindow="600" windowWidth="38400" windowHeight="19540" xr2:uid="{00000000-000D-0000-FFFF-FFFF00000000}"/>
  </bookViews>
  <sheets>
    <sheet name="财报及财务指标" sheetId="1" r:id="rId1"/>
    <sheet name="简版财报（使用财务及财务指标sheet里的合并口径数据填充）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5" i="1" l="1"/>
  <c r="K85" i="1"/>
  <c r="J85" i="1"/>
  <c r="H85" i="1"/>
  <c r="G85" i="1"/>
  <c r="F85" i="1"/>
  <c r="L84" i="1"/>
  <c r="K84" i="1"/>
  <c r="J84" i="1"/>
  <c r="H84" i="1"/>
  <c r="G84" i="1"/>
  <c r="F84" i="1"/>
  <c r="H81" i="1"/>
  <c r="G81" i="1"/>
  <c r="F81" i="1"/>
  <c r="H80" i="1"/>
  <c r="G80" i="1"/>
  <c r="F80" i="1"/>
</calcChain>
</file>

<file path=xl/sharedStrings.xml><?xml version="1.0" encoding="utf-8"?>
<sst xmlns="http://schemas.openxmlformats.org/spreadsheetml/2006/main" count="129" uniqueCount="104">
  <si>
    <t>科目</t>
  </si>
  <si>
    <t>合并</t>
  </si>
  <si>
    <t>单体</t>
  </si>
  <si>
    <t>2023年</t>
  </si>
  <si>
    <t>2024年</t>
  </si>
  <si>
    <t>2025年</t>
  </si>
  <si>
    <t>2026年Q1</t>
  </si>
  <si>
    <t>资产类</t>
  </si>
  <si>
    <t>总资产</t>
  </si>
  <si>
    <t>流动资产</t>
  </si>
  <si>
    <t>货币资金</t>
  </si>
  <si>
    <t>应收票据</t>
  </si>
  <si>
    <t>应收账款</t>
  </si>
  <si>
    <t>应收账款融资</t>
  </si>
  <si>
    <t>预付账款</t>
  </si>
  <si>
    <t>其他应收款</t>
  </si>
  <si>
    <t>存货</t>
  </si>
  <si>
    <t>一年内到期的非流动资产</t>
  </si>
  <si>
    <t>其他流动资产</t>
  </si>
  <si>
    <t>非流动资产</t>
  </si>
  <si>
    <t>可供出售的金融资产</t>
  </si>
  <si>
    <t>其中：长期股权投资</t>
  </si>
  <si>
    <t>长期应收款</t>
  </si>
  <si>
    <t>固定资产</t>
  </si>
  <si>
    <t>在建工程</t>
  </si>
  <si>
    <t>使用权资产</t>
  </si>
  <si>
    <t>长期待摊费用</t>
  </si>
  <si>
    <t>无形资产</t>
  </si>
  <si>
    <t>商誉</t>
  </si>
  <si>
    <t>递延所得税资产</t>
  </si>
  <si>
    <t>其他非流动资产</t>
  </si>
  <si>
    <t>负债类</t>
  </si>
  <si>
    <t>总负债</t>
  </si>
  <si>
    <t>流动负债</t>
  </si>
  <si>
    <t>其中：短期借款</t>
  </si>
  <si>
    <t>应付票据</t>
  </si>
  <si>
    <t>应付账款</t>
  </si>
  <si>
    <t>预收账款</t>
  </si>
  <si>
    <t>合同负债</t>
  </si>
  <si>
    <t>应付工资</t>
  </si>
  <si>
    <t>应交税费</t>
  </si>
  <si>
    <t>其他应付款</t>
  </si>
  <si>
    <t>其他流动负债</t>
  </si>
  <si>
    <t>一年内到期的非流动负债</t>
  </si>
  <si>
    <t>非流动负债</t>
  </si>
  <si>
    <t>其中：长期借款</t>
  </si>
  <si>
    <t>租赁负债</t>
  </si>
  <si>
    <t>长期应付款</t>
  </si>
  <si>
    <t>预计负债</t>
  </si>
  <si>
    <t>递延所得税负债</t>
  </si>
  <si>
    <t>递延收益</t>
  </si>
  <si>
    <t>权益类</t>
  </si>
  <si>
    <t>净资产</t>
  </si>
  <si>
    <t>其中：实收资本</t>
  </si>
  <si>
    <t>资本公积</t>
  </si>
  <si>
    <t>减：库存股</t>
  </si>
  <si>
    <t>其他综合收益</t>
  </si>
  <si>
    <t>专项储备</t>
  </si>
  <si>
    <t>盈余公积</t>
  </si>
  <si>
    <t>未分配利润</t>
  </si>
  <si>
    <t>少数股东权益</t>
  </si>
  <si>
    <t>损益类</t>
  </si>
  <si>
    <t>营业收入</t>
  </si>
  <si>
    <t>营业成本</t>
  </si>
  <si>
    <t>营业税金及附加</t>
  </si>
  <si>
    <t>营业费用</t>
  </si>
  <si>
    <t>管理费用</t>
  </si>
  <si>
    <t>研发费用</t>
  </si>
  <si>
    <t>财务费用</t>
  </si>
  <si>
    <t>其他收益</t>
  </si>
  <si>
    <t>投资收益</t>
  </si>
  <si>
    <t>对联营企业和合营企业的投资收益</t>
  </si>
  <si>
    <t>信用减值损失</t>
  </si>
  <si>
    <t>资产减值损失</t>
  </si>
  <si>
    <t>资产处置收益</t>
  </si>
  <si>
    <t>营业外收入</t>
  </si>
  <si>
    <t>营业外支出</t>
  </si>
  <si>
    <t>利润总额</t>
  </si>
  <si>
    <t>所得税费用</t>
  </si>
  <si>
    <t>净利润</t>
  </si>
  <si>
    <t>现金流</t>
  </si>
  <si>
    <t>销售商品、提供劳务收到现金</t>
  </si>
  <si>
    <t>经营性净现金流</t>
  </si>
  <si>
    <t>投资性净现金流</t>
  </si>
  <si>
    <t>筹资性净现金流</t>
  </si>
  <si>
    <t>净现金流</t>
  </si>
  <si>
    <t>财务指标</t>
  </si>
  <si>
    <t>资产负债率</t>
  </si>
  <si>
    <t>流动比率</t>
  </si>
  <si>
    <t>速动比率</t>
  </si>
  <si>
    <t>应收账款周转率</t>
  </si>
  <si>
    <t>存货周转率</t>
  </si>
  <si>
    <t>净利率</t>
  </si>
  <si>
    <t>毛利率</t>
  </si>
  <si>
    <t>短期贷销比</t>
  </si>
  <si>
    <t>收现比</t>
  </si>
  <si>
    <t>2026Q1</t>
  </si>
  <si>
    <t>损益</t>
  </si>
  <si>
    <t>资产负债</t>
  </si>
  <si>
    <t>有息负债</t>
  </si>
  <si>
    <t>其中：短期有息负债</t>
  </si>
  <si>
    <t>应收账款周转天数</t>
  </si>
  <si>
    <t>存货周转天数</t>
  </si>
  <si>
    <t>现金流量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</si>
</sst>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_ "/>
    <numFmt numFmtId="181" formatCode="0_ "/>
  </numFmts>
  <fonts count="4">
    <font>
      <sz val="12"/>
      <color theme="1"/>
      <name val="等线"/>
      <charset val="134"/>
      <scheme val="minor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5C7EA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80" fontId="2" fillId="0" borderId="3" xfId="0" applyNumberFormat="1" applyFont="1" applyBorder="1" applyAlignment="1">
      <alignment horizontal="center" vertical="center" wrapText="1"/>
    </xf>
    <xf numFmtId="10" fontId="2" fillId="0" borderId="3" xfId="0" applyNumberFormat="1" applyFont="1" applyBorder="1" applyAlignment="1">
      <alignment horizontal="center" vertical="center" wrapText="1"/>
    </xf>
    <xf numFmtId="181" fontId="2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80" fontId="1" fillId="0" borderId="12" xfId="0" applyNumberFormat="1" applyFont="1" applyBorder="1" applyAlignment="1">
      <alignment horizontal="center" vertical="center" wrapText="1"/>
    </xf>
    <xf numFmtId="180" fontId="2" fillId="0" borderId="12" xfId="0" applyNumberFormat="1" applyFont="1" applyBorder="1" applyAlignment="1">
      <alignment horizontal="center" vertical="center" wrapText="1"/>
    </xf>
    <xf numFmtId="10" fontId="2" fillId="0" borderId="1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4" fontId="2" fillId="0" borderId="1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L85"/>
  <sheetViews>
    <sheetView tabSelected="1" topLeftCell="A50" workbookViewId="0">
      <selection activeCell="I3" sqref="I3:I85"/>
    </sheetView>
  </sheetViews>
  <sheetFormatPr baseColWidth="10" defaultColWidth="11" defaultRowHeight="16"/>
  <cols>
    <col min="4" max="4" width="3" customWidth="1"/>
  </cols>
  <sheetData>
    <row r="1" spans="4:12">
      <c r="D1" s="16" t="s">
        <v>0</v>
      </c>
      <c r="E1" s="17"/>
      <c r="F1" s="7" t="s">
        <v>1</v>
      </c>
      <c r="G1" s="8"/>
      <c r="H1" s="8"/>
      <c r="I1" s="9"/>
      <c r="J1" s="7" t="s">
        <v>2</v>
      </c>
      <c r="K1" s="8"/>
      <c r="L1" s="9"/>
    </row>
    <row r="2" spans="4:12">
      <c r="D2" s="18"/>
      <c r="E2" s="19"/>
      <c r="F2" s="6" t="s">
        <v>3</v>
      </c>
      <c r="G2" s="6" t="s">
        <v>4</v>
      </c>
      <c r="H2" s="6" t="s">
        <v>5</v>
      </c>
      <c r="I2" s="6" t="s">
        <v>6</v>
      </c>
      <c r="J2" s="6" t="s">
        <v>3</v>
      </c>
      <c r="K2" s="6" t="s">
        <v>4</v>
      </c>
      <c r="L2" s="6" t="s">
        <v>5</v>
      </c>
    </row>
    <row r="3" spans="4:12">
      <c r="D3" s="10" t="s">
        <v>7</v>
      </c>
      <c r="E3" s="6" t="s">
        <v>8</v>
      </c>
      <c r="F3" s="25">
        <v>570.97016799999994</v>
      </c>
      <c r="G3" s="25">
        <v>567.80291999999997</v>
      </c>
      <c r="H3" s="25">
        <v>541.49630300000001</v>
      </c>
      <c r="I3" s="25"/>
      <c r="J3" s="25">
        <v>235.721498</v>
      </c>
      <c r="K3" s="25">
        <v>254.32077699999999</v>
      </c>
      <c r="L3" s="25">
        <v>252.49392900000001</v>
      </c>
    </row>
    <row r="4" spans="4:12">
      <c r="D4" s="11"/>
      <c r="E4" s="6" t="s">
        <v>9</v>
      </c>
      <c r="F4" s="25">
        <v>215.11788399999998</v>
      </c>
      <c r="G4" s="25">
        <v>209.31363200000001</v>
      </c>
      <c r="H4" s="25">
        <v>178.64533299999999</v>
      </c>
      <c r="I4" s="25"/>
      <c r="J4" s="25">
        <v>0.35689899999999997</v>
      </c>
      <c r="K4" s="25">
        <v>19.105357999999999</v>
      </c>
      <c r="L4" s="25">
        <v>17.45804</v>
      </c>
    </row>
    <row r="5" spans="4:12">
      <c r="D5" s="11"/>
      <c r="E5" s="2" t="s">
        <v>10</v>
      </c>
      <c r="F5" s="26">
        <v>78.115516</v>
      </c>
      <c r="G5" s="26">
        <v>91.077581000000009</v>
      </c>
      <c r="H5" s="26">
        <v>65.397556000000009</v>
      </c>
      <c r="I5" s="26"/>
      <c r="J5" s="26">
        <v>5.3400999999999997E-2</v>
      </c>
      <c r="K5" s="26">
        <v>9.2383000000000007E-2</v>
      </c>
      <c r="L5" s="26">
        <v>0.71684499999999995</v>
      </c>
    </row>
    <row r="6" spans="4:12">
      <c r="D6" s="11"/>
      <c r="E6" s="2" t="s">
        <v>11</v>
      </c>
      <c r="F6" s="26">
        <v>9.9719750000000005</v>
      </c>
      <c r="G6" s="26">
        <v>6.0785349999999996</v>
      </c>
      <c r="H6" s="26">
        <v>17.670655</v>
      </c>
      <c r="I6" s="26"/>
      <c r="J6" s="26">
        <v>0</v>
      </c>
      <c r="K6" s="26">
        <v>3.8587000000000003E-2</v>
      </c>
      <c r="L6" s="26">
        <v>0.388654</v>
      </c>
    </row>
    <row r="7" spans="4:12">
      <c r="D7" s="11"/>
      <c r="E7" s="2" t="s">
        <v>12</v>
      </c>
      <c r="F7" s="26">
        <v>5.0779249999999996</v>
      </c>
      <c r="G7" s="26">
        <v>2.9067799999999999</v>
      </c>
      <c r="H7" s="26">
        <v>4.7327269999999997</v>
      </c>
      <c r="I7" s="26"/>
      <c r="J7" s="26">
        <v>0</v>
      </c>
      <c r="K7" s="26">
        <v>0.78757100000000002</v>
      </c>
      <c r="L7" s="26">
        <v>1.5075700000000001</v>
      </c>
    </row>
    <row r="8" spans="4:12">
      <c r="D8" s="11"/>
      <c r="E8" s="2" t="s">
        <v>13</v>
      </c>
      <c r="F8" s="26">
        <v>0.57736799999999999</v>
      </c>
      <c r="G8" s="26">
        <v>0.66803599999999996</v>
      </c>
      <c r="H8" s="26">
        <v>1.1283700000000001</v>
      </c>
      <c r="I8" s="26"/>
      <c r="J8" s="26">
        <v>0</v>
      </c>
      <c r="K8" s="26">
        <v>0</v>
      </c>
      <c r="L8" s="26">
        <v>0</v>
      </c>
    </row>
    <row r="9" spans="4:12">
      <c r="D9" s="11"/>
      <c r="E9" s="2" t="s">
        <v>14</v>
      </c>
      <c r="F9" s="26">
        <v>20.780946</v>
      </c>
      <c r="G9" s="26">
        <v>15.084623000000001</v>
      </c>
      <c r="H9" s="26">
        <v>11.601576</v>
      </c>
      <c r="I9" s="26"/>
      <c r="J9" s="26">
        <v>0</v>
      </c>
      <c r="K9" s="26">
        <v>1.7559880000000001</v>
      </c>
      <c r="L9" s="26">
        <v>3.2490000000000002E-3</v>
      </c>
    </row>
    <row r="10" spans="4:12">
      <c r="D10" s="11"/>
      <c r="E10" s="2" t="s">
        <v>15</v>
      </c>
      <c r="F10" s="26">
        <v>0.96690699999999996</v>
      </c>
      <c r="G10" s="26">
        <v>1.257773</v>
      </c>
      <c r="H10" s="26">
        <v>1.944834</v>
      </c>
      <c r="I10" s="26"/>
      <c r="J10" s="26">
        <v>0.28043400000000002</v>
      </c>
      <c r="K10" s="26">
        <v>15.456351999999999</v>
      </c>
      <c r="L10" s="26">
        <v>14.805128</v>
      </c>
    </row>
    <row r="11" spans="4:12">
      <c r="D11" s="11"/>
      <c r="E11" s="2" t="s">
        <v>16</v>
      </c>
      <c r="F11" s="26">
        <v>95.433026999999996</v>
      </c>
      <c r="G11" s="26">
        <v>88.23933000000001</v>
      </c>
      <c r="H11" s="26">
        <v>71.873268999999993</v>
      </c>
      <c r="I11" s="26"/>
      <c r="J11" s="26">
        <v>0</v>
      </c>
      <c r="K11" s="26">
        <v>0.94643700000000008</v>
      </c>
      <c r="L11" s="26">
        <v>0</v>
      </c>
    </row>
    <row r="12" spans="4:12" ht="28">
      <c r="D12" s="11"/>
      <c r="E12" s="2" t="s">
        <v>17</v>
      </c>
      <c r="F12" s="26">
        <v>0.25</v>
      </c>
      <c r="G12" s="26">
        <v>0.375</v>
      </c>
      <c r="H12" s="26">
        <v>0.34499999999999997</v>
      </c>
      <c r="I12" s="26"/>
      <c r="J12" s="26">
        <v>0</v>
      </c>
      <c r="K12" s="26">
        <v>0</v>
      </c>
      <c r="L12" s="26">
        <v>0</v>
      </c>
    </row>
    <row r="13" spans="4:12">
      <c r="D13" s="11"/>
      <c r="E13" s="2" t="s">
        <v>18</v>
      </c>
      <c r="F13" s="26">
        <v>3.9442199999999996</v>
      </c>
      <c r="G13" s="26">
        <v>3.6259739999999998</v>
      </c>
      <c r="H13" s="26">
        <v>3.9513470000000002</v>
      </c>
      <c r="I13" s="26"/>
      <c r="J13" s="26">
        <v>2.3065000000000002E-2</v>
      </c>
      <c r="K13" s="26">
        <v>2.8039999999999999E-2</v>
      </c>
      <c r="L13" s="26">
        <v>3.6594000000000002E-2</v>
      </c>
    </row>
    <row r="14" spans="4:12">
      <c r="D14" s="11"/>
      <c r="E14" s="6" t="s">
        <v>19</v>
      </c>
      <c r="F14" s="25">
        <v>355.852284</v>
      </c>
      <c r="G14" s="25">
        <v>358.48928899999999</v>
      </c>
      <c r="H14" s="25">
        <v>362.85096900000002</v>
      </c>
      <c r="I14" s="25"/>
      <c r="J14" s="25">
        <v>235.36459900000003</v>
      </c>
      <c r="K14" s="25">
        <v>235.215419</v>
      </c>
      <c r="L14" s="25">
        <v>235.03588999999999</v>
      </c>
    </row>
    <row r="15" spans="4:12" ht="28">
      <c r="D15" s="11"/>
      <c r="E15" s="2" t="s">
        <v>20</v>
      </c>
      <c r="F15" s="26">
        <v>0</v>
      </c>
      <c r="G15" s="26">
        <v>0</v>
      </c>
      <c r="H15" s="26">
        <v>0</v>
      </c>
      <c r="I15" s="26"/>
      <c r="J15" s="26">
        <v>0</v>
      </c>
      <c r="K15" s="26">
        <v>0</v>
      </c>
      <c r="L15" s="26">
        <v>0</v>
      </c>
    </row>
    <row r="16" spans="4:12" ht="28">
      <c r="D16" s="11"/>
      <c r="E16" s="2" t="s">
        <v>21</v>
      </c>
      <c r="F16" s="26">
        <v>0</v>
      </c>
      <c r="G16" s="26">
        <v>0</v>
      </c>
      <c r="H16" s="26">
        <v>0</v>
      </c>
      <c r="I16" s="26"/>
      <c r="J16" s="26">
        <v>234.67099999999999</v>
      </c>
      <c r="K16" s="26">
        <v>234.67099999999999</v>
      </c>
      <c r="L16" s="26">
        <v>234.67099999999999</v>
      </c>
    </row>
    <row r="17" spans="4:12">
      <c r="D17" s="11"/>
      <c r="E17" s="2" t="s">
        <v>22</v>
      </c>
      <c r="F17" s="26">
        <v>0.89600000000000002</v>
      </c>
      <c r="G17" s="26">
        <v>0.52100000000000002</v>
      </c>
      <c r="H17" s="26">
        <v>0.16</v>
      </c>
      <c r="I17" s="26"/>
      <c r="J17" s="26">
        <v>0</v>
      </c>
      <c r="K17" s="26">
        <v>0</v>
      </c>
      <c r="L17" s="26">
        <v>0</v>
      </c>
    </row>
    <row r="18" spans="4:12">
      <c r="D18" s="11"/>
      <c r="E18" s="2" t="s">
        <v>23</v>
      </c>
      <c r="F18" s="26">
        <v>264.67085499999996</v>
      </c>
      <c r="G18" s="26">
        <v>273.507092</v>
      </c>
      <c r="H18" s="26">
        <v>286.74106499999999</v>
      </c>
      <c r="I18" s="26"/>
      <c r="J18" s="26">
        <v>9.6199000000000007E-2</v>
      </c>
      <c r="K18" s="26">
        <v>8.1419000000000005E-2</v>
      </c>
      <c r="L18" s="26">
        <v>5.5511999999999999E-2</v>
      </c>
    </row>
    <row r="19" spans="4:12">
      <c r="D19" s="11"/>
      <c r="E19" s="2" t="s">
        <v>24</v>
      </c>
      <c r="F19" s="26">
        <v>43.442900999999999</v>
      </c>
      <c r="G19" s="26">
        <v>28.618996999999997</v>
      </c>
      <c r="H19" s="26">
        <v>18.770126000000001</v>
      </c>
      <c r="I19" s="26"/>
      <c r="J19" s="26">
        <v>0</v>
      </c>
      <c r="K19" s="26">
        <v>0</v>
      </c>
      <c r="L19" s="26">
        <v>0</v>
      </c>
    </row>
    <row r="20" spans="4:12">
      <c r="D20" s="11"/>
      <c r="E20" s="2" t="s">
        <v>25</v>
      </c>
      <c r="F20" s="26">
        <v>1.4445E-2</v>
      </c>
      <c r="G20" s="26">
        <v>0.11541300000000002</v>
      </c>
      <c r="H20" s="26">
        <v>7.3358000000000007E-2</v>
      </c>
      <c r="I20" s="26"/>
      <c r="J20" s="26">
        <v>0</v>
      </c>
      <c r="K20" s="26">
        <v>0</v>
      </c>
      <c r="L20" s="26">
        <v>0</v>
      </c>
    </row>
    <row r="21" spans="4:12">
      <c r="D21" s="11"/>
      <c r="E21" s="2" t="s">
        <v>26</v>
      </c>
      <c r="F21" s="26">
        <v>0</v>
      </c>
      <c r="G21" s="26">
        <v>0</v>
      </c>
      <c r="H21" s="26">
        <v>0</v>
      </c>
      <c r="I21" s="26"/>
      <c r="J21" s="26">
        <v>0</v>
      </c>
      <c r="K21" s="26">
        <v>0</v>
      </c>
      <c r="L21" s="26">
        <v>0</v>
      </c>
    </row>
    <row r="22" spans="4:12">
      <c r="D22" s="11"/>
      <c r="E22" s="2" t="s">
        <v>27</v>
      </c>
      <c r="F22" s="26">
        <v>14.802370999999999</v>
      </c>
      <c r="G22" s="26">
        <v>38.363498</v>
      </c>
      <c r="H22" s="26">
        <v>38.383371000000004</v>
      </c>
      <c r="I22" s="26"/>
      <c r="J22" s="26">
        <v>5.6899999999999997E-3</v>
      </c>
      <c r="K22" s="26">
        <v>3.7810000000000001E-3</v>
      </c>
      <c r="L22" s="26">
        <v>1.8879999999999999E-3</v>
      </c>
    </row>
    <row r="23" spans="4:12">
      <c r="D23" s="11"/>
      <c r="E23" s="2" t="s">
        <v>28</v>
      </c>
      <c r="F23" s="26">
        <v>0</v>
      </c>
      <c r="G23" s="26">
        <v>0</v>
      </c>
      <c r="H23" s="26">
        <v>0</v>
      </c>
      <c r="I23" s="26"/>
      <c r="J23" s="26">
        <v>0</v>
      </c>
      <c r="K23" s="26">
        <v>0</v>
      </c>
      <c r="L23" s="26">
        <v>0</v>
      </c>
    </row>
    <row r="24" spans="4:12" ht="28">
      <c r="D24" s="11"/>
      <c r="E24" s="2" t="s">
        <v>29</v>
      </c>
      <c r="F24" s="26">
        <v>4.0090170000000001</v>
      </c>
      <c r="G24" s="26">
        <v>5.2695999999999996</v>
      </c>
      <c r="H24" s="26">
        <v>6.0426989999999998</v>
      </c>
      <c r="I24" s="26"/>
      <c r="J24" s="26">
        <v>0.46198400000000001</v>
      </c>
      <c r="K24" s="26">
        <v>0.36785100000000004</v>
      </c>
      <c r="L24" s="26">
        <v>0.25322499999999998</v>
      </c>
    </row>
    <row r="25" spans="4:12" ht="28">
      <c r="D25" s="12"/>
      <c r="E25" s="2" t="s">
        <v>30</v>
      </c>
      <c r="F25" s="26">
        <v>28.016695000000002</v>
      </c>
      <c r="G25" s="26">
        <v>12.093688999999999</v>
      </c>
      <c r="H25" s="26">
        <v>12.618517000000001</v>
      </c>
      <c r="I25" s="26"/>
      <c r="J25" s="26">
        <v>0.12972600000000001</v>
      </c>
      <c r="K25" s="26">
        <v>9.1367999999999991E-2</v>
      </c>
      <c r="L25" s="26">
        <v>5.4265000000000001E-2</v>
      </c>
    </row>
    <row r="26" spans="4:12">
      <c r="D26" s="10" t="s">
        <v>31</v>
      </c>
      <c r="E26" s="6" t="s">
        <v>32</v>
      </c>
      <c r="F26" s="25">
        <v>329.88026099999996</v>
      </c>
      <c r="G26" s="25">
        <v>299.46396699999997</v>
      </c>
      <c r="H26" s="25">
        <v>245.86355899999998</v>
      </c>
      <c r="I26" s="25"/>
      <c r="J26" s="25">
        <v>1.4905000000000002E-2</v>
      </c>
      <c r="K26" s="25">
        <v>2.9037299999999999</v>
      </c>
      <c r="L26" s="25">
        <v>2.3378380000000001</v>
      </c>
    </row>
    <row r="27" spans="4:12">
      <c r="D27" s="11"/>
      <c r="E27" s="6" t="s">
        <v>33</v>
      </c>
      <c r="F27" s="25">
        <v>246.213842</v>
      </c>
      <c r="G27" s="25">
        <v>212.80277799999999</v>
      </c>
      <c r="H27" s="25">
        <v>179.01947200000001</v>
      </c>
      <c r="I27" s="25"/>
      <c r="J27" s="25">
        <v>1.4905000000000002E-2</v>
      </c>
      <c r="K27" s="25">
        <v>2.9037299999999999</v>
      </c>
      <c r="L27" s="25">
        <v>0.61183799999999999</v>
      </c>
    </row>
    <row r="28" spans="4:12" ht="28">
      <c r="D28" s="11"/>
      <c r="E28" s="2" t="s">
        <v>34</v>
      </c>
      <c r="F28" s="26">
        <v>88.131763000000007</v>
      </c>
      <c r="G28" s="26">
        <v>34.328474</v>
      </c>
      <c r="H28" s="26">
        <v>27.669065999999997</v>
      </c>
      <c r="I28" s="26"/>
      <c r="J28" s="26">
        <v>0</v>
      </c>
      <c r="K28" s="26">
        <v>0</v>
      </c>
      <c r="L28" s="26">
        <v>0</v>
      </c>
    </row>
    <row r="29" spans="4:12">
      <c r="D29" s="11"/>
      <c r="E29" s="2" t="s">
        <v>35</v>
      </c>
      <c r="F29" s="26">
        <v>48.687129999999996</v>
      </c>
      <c r="G29" s="26">
        <v>73.112064000000004</v>
      </c>
      <c r="H29" s="26">
        <v>51.293977000000005</v>
      </c>
      <c r="I29" s="26"/>
      <c r="J29" s="26">
        <v>0</v>
      </c>
      <c r="K29" s="26">
        <v>0</v>
      </c>
      <c r="L29" s="26">
        <v>0</v>
      </c>
    </row>
    <row r="30" spans="4:12">
      <c r="D30" s="11"/>
      <c r="E30" s="2" t="s">
        <v>36</v>
      </c>
      <c r="F30" s="26">
        <v>18.458897</v>
      </c>
      <c r="G30" s="26">
        <v>15.700310999999999</v>
      </c>
      <c r="H30" s="26">
        <v>16.349516000000001</v>
      </c>
      <c r="I30" s="26"/>
      <c r="J30" s="26">
        <v>0</v>
      </c>
      <c r="K30" s="26">
        <v>0.75113399999999997</v>
      </c>
      <c r="L30" s="26">
        <v>0.12232999999999999</v>
      </c>
    </row>
    <row r="31" spans="4:12">
      <c r="D31" s="11"/>
      <c r="E31" s="2" t="s">
        <v>37</v>
      </c>
      <c r="F31" s="26">
        <v>0</v>
      </c>
      <c r="G31" s="26">
        <v>0</v>
      </c>
      <c r="H31" s="26">
        <v>0</v>
      </c>
      <c r="I31" s="26"/>
      <c r="J31" s="26">
        <v>0</v>
      </c>
      <c r="K31" s="26">
        <v>0</v>
      </c>
      <c r="L31" s="26">
        <v>0</v>
      </c>
    </row>
    <row r="32" spans="4:12">
      <c r="D32" s="11"/>
      <c r="E32" s="2" t="s">
        <v>38</v>
      </c>
      <c r="F32" s="26">
        <v>0.72428999999999999</v>
      </c>
      <c r="G32" s="26">
        <v>2.1184220000000002</v>
      </c>
      <c r="H32" s="26">
        <v>1.0800299999999998</v>
      </c>
      <c r="I32" s="26"/>
      <c r="J32" s="26">
        <v>0</v>
      </c>
      <c r="K32" s="26">
        <v>0.20630399999999999</v>
      </c>
      <c r="L32" s="26">
        <v>2.9700000000000001E-4</v>
      </c>
    </row>
    <row r="33" spans="4:12">
      <c r="D33" s="11"/>
      <c r="E33" s="2" t="s">
        <v>39</v>
      </c>
      <c r="F33" s="26">
        <v>0.53677399999999997</v>
      </c>
      <c r="G33" s="26">
        <v>0.58108000000000004</v>
      </c>
      <c r="H33" s="26">
        <v>0.63587700000000003</v>
      </c>
      <c r="I33" s="26"/>
      <c r="J33" s="26">
        <v>5.6840000000000007E-3</v>
      </c>
      <c r="K33" s="26">
        <v>6.5290000000000009E-3</v>
      </c>
      <c r="L33" s="26">
        <v>7.3680000000000004E-3</v>
      </c>
    </row>
    <row r="34" spans="4:12">
      <c r="D34" s="11"/>
      <c r="E34" s="2" t="s">
        <v>40</v>
      </c>
      <c r="F34" s="26">
        <v>15.877213000000001</v>
      </c>
      <c r="G34" s="26">
        <v>18.629577999999999</v>
      </c>
      <c r="H34" s="26">
        <v>16.727848000000002</v>
      </c>
      <c r="I34" s="26"/>
      <c r="J34" s="26">
        <v>6.0169999999999998E-3</v>
      </c>
      <c r="K34" s="26">
        <v>3.2726999999999999E-2</v>
      </c>
      <c r="L34" s="26">
        <v>2.1111999999999999E-2</v>
      </c>
    </row>
    <row r="35" spans="4:12">
      <c r="D35" s="11"/>
      <c r="E35" s="2" t="s">
        <v>41</v>
      </c>
      <c r="F35" s="26">
        <v>18.185935000000001</v>
      </c>
      <c r="G35" s="26">
        <v>23.6157</v>
      </c>
      <c r="H35" s="26">
        <v>11.560713</v>
      </c>
      <c r="I35" s="26"/>
      <c r="J35" s="26">
        <v>3.2049999999999995E-3</v>
      </c>
      <c r="K35" s="26">
        <v>1.8716299999999999</v>
      </c>
      <c r="L35" s="26">
        <v>3.9700000000000004E-3</v>
      </c>
    </row>
    <row r="36" spans="4:12">
      <c r="D36" s="11"/>
      <c r="E36" s="2" t="s">
        <v>42</v>
      </c>
      <c r="F36" s="26">
        <v>6.8020990000000001</v>
      </c>
      <c r="G36" s="26">
        <v>3.3166389999999999</v>
      </c>
      <c r="H36" s="26">
        <v>12.728207000000001</v>
      </c>
      <c r="I36" s="26"/>
      <c r="J36" s="26">
        <v>0</v>
      </c>
      <c r="K36" s="26">
        <v>3.5407000000000001E-2</v>
      </c>
      <c r="L36" s="26">
        <v>0.38869300000000001</v>
      </c>
    </row>
    <row r="37" spans="4:12" ht="28">
      <c r="D37" s="11"/>
      <c r="E37" s="2" t="s">
        <v>43</v>
      </c>
      <c r="F37" s="26">
        <v>48.809739</v>
      </c>
      <c r="G37" s="26">
        <v>41.400509999999997</v>
      </c>
      <c r="H37" s="26">
        <v>40.974237000000002</v>
      </c>
      <c r="I37" s="26"/>
      <c r="J37" s="26">
        <v>0</v>
      </c>
      <c r="K37" s="26">
        <v>0</v>
      </c>
      <c r="L37" s="26">
        <v>6.806799999999999E-2</v>
      </c>
    </row>
    <row r="38" spans="4:12">
      <c r="D38" s="11"/>
      <c r="E38" s="6" t="s">
        <v>44</v>
      </c>
      <c r="F38" s="25">
        <v>83.666418999999991</v>
      </c>
      <c r="G38" s="25">
        <v>86.661189000000007</v>
      </c>
      <c r="H38" s="25">
        <v>66.844087000000002</v>
      </c>
      <c r="I38" s="25"/>
      <c r="J38" s="25">
        <v>0</v>
      </c>
      <c r="K38" s="25">
        <v>0</v>
      </c>
      <c r="L38" s="25">
        <v>1.726</v>
      </c>
    </row>
    <row r="39" spans="4:12" ht="28">
      <c r="D39" s="11"/>
      <c r="E39" s="2" t="s">
        <v>45</v>
      </c>
      <c r="F39" s="26">
        <v>70.205049000000002</v>
      </c>
      <c r="G39" s="26">
        <v>76.681697</v>
      </c>
      <c r="H39" s="26">
        <v>60.783073999999999</v>
      </c>
      <c r="I39" s="26"/>
      <c r="J39" s="26">
        <v>0</v>
      </c>
      <c r="K39" s="26">
        <v>0</v>
      </c>
      <c r="L39" s="26">
        <v>1.726</v>
      </c>
    </row>
    <row r="40" spans="4:12">
      <c r="D40" s="11"/>
      <c r="E40" s="2" t="s">
        <v>46</v>
      </c>
      <c r="F40" s="26">
        <v>2.9989999999999999E-3</v>
      </c>
      <c r="G40" s="26">
        <v>5.9107000000000007E-2</v>
      </c>
      <c r="H40" s="26">
        <v>1.8671E-2</v>
      </c>
      <c r="I40" s="26"/>
      <c r="J40" s="26">
        <v>0</v>
      </c>
      <c r="K40" s="26">
        <v>0</v>
      </c>
      <c r="L40" s="26">
        <v>0</v>
      </c>
    </row>
    <row r="41" spans="4:12">
      <c r="D41" s="11"/>
      <c r="E41" s="2" t="s">
        <v>47</v>
      </c>
      <c r="F41" s="26">
        <v>8.1160429999999995</v>
      </c>
      <c r="G41" s="26">
        <v>3.9338900000000003</v>
      </c>
      <c r="H41" s="26">
        <v>0.45526000000000005</v>
      </c>
      <c r="I41" s="26"/>
      <c r="J41" s="26">
        <v>0</v>
      </c>
      <c r="K41" s="26">
        <v>0</v>
      </c>
      <c r="L41" s="26">
        <v>0</v>
      </c>
    </row>
    <row r="42" spans="4:12">
      <c r="D42" s="11"/>
      <c r="E42" s="2" t="s">
        <v>48</v>
      </c>
      <c r="F42" s="26">
        <v>0</v>
      </c>
      <c r="G42" s="26">
        <v>0</v>
      </c>
      <c r="H42" s="26">
        <v>0</v>
      </c>
      <c r="I42" s="26"/>
      <c r="J42" s="26">
        <v>0</v>
      </c>
      <c r="K42" s="26">
        <v>0</v>
      </c>
      <c r="L42" s="26">
        <v>0</v>
      </c>
    </row>
    <row r="43" spans="4:12" ht="28">
      <c r="D43" s="11"/>
      <c r="E43" s="2" t="s">
        <v>49</v>
      </c>
      <c r="F43" s="26">
        <v>0.85995300000000008</v>
      </c>
      <c r="G43" s="26">
        <v>0.87562099999999987</v>
      </c>
      <c r="H43" s="26">
        <v>0.67028299999999996</v>
      </c>
      <c r="I43" s="26"/>
      <c r="J43" s="26">
        <v>0</v>
      </c>
      <c r="K43" s="26">
        <v>0</v>
      </c>
      <c r="L43" s="26">
        <v>0</v>
      </c>
    </row>
    <row r="44" spans="4:12">
      <c r="D44" s="12"/>
      <c r="E44" s="2" t="s">
        <v>50</v>
      </c>
      <c r="F44" s="26">
        <v>4.4823750000000002</v>
      </c>
      <c r="G44" s="26">
        <v>5.1108739999999999</v>
      </c>
      <c r="H44" s="26">
        <v>4.9168000000000003</v>
      </c>
      <c r="I44" s="26"/>
      <c r="J44" s="26">
        <v>0</v>
      </c>
      <c r="K44" s="26">
        <v>0</v>
      </c>
      <c r="L44" s="26">
        <v>0</v>
      </c>
    </row>
    <row r="45" spans="4:12">
      <c r="D45" s="13" t="s">
        <v>51</v>
      </c>
      <c r="E45" s="6" t="s">
        <v>52</v>
      </c>
      <c r="F45" s="25">
        <v>241.08990699999998</v>
      </c>
      <c r="G45" s="25">
        <v>268.338953</v>
      </c>
      <c r="H45" s="25">
        <v>295.632743</v>
      </c>
      <c r="I45" s="25"/>
      <c r="J45" s="25">
        <v>235.706592</v>
      </c>
      <c r="K45" s="25">
        <v>251.41704700000003</v>
      </c>
      <c r="L45" s="25">
        <v>250.156092</v>
      </c>
    </row>
    <row r="46" spans="4:12" ht="28">
      <c r="D46" s="14"/>
      <c r="E46" s="2" t="s">
        <v>53</v>
      </c>
      <c r="F46" s="26">
        <v>46.518853999999997</v>
      </c>
      <c r="G46" s="26">
        <v>46.518853999999997</v>
      </c>
      <c r="H46" s="26">
        <v>46.287374</v>
      </c>
      <c r="I46" s="26"/>
      <c r="J46" s="26">
        <v>46.518853999999997</v>
      </c>
      <c r="K46" s="26">
        <v>46.518853999999997</v>
      </c>
      <c r="L46" s="26">
        <v>46.287374</v>
      </c>
    </row>
    <row r="47" spans="4:12">
      <c r="D47" s="14"/>
      <c r="E47" s="2" t="s">
        <v>54</v>
      </c>
      <c r="F47" s="26">
        <v>88.258789000000007</v>
      </c>
      <c r="G47" s="26">
        <v>88.258789000000007</v>
      </c>
      <c r="H47" s="26">
        <v>86.990122</v>
      </c>
      <c r="I47" s="26"/>
      <c r="J47" s="26">
        <v>161.90498500000001</v>
      </c>
      <c r="K47" s="26">
        <v>161.90498500000001</v>
      </c>
      <c r="L47" s="26">
        <v>160.63631699999999</v>
      </c>
    </row>
    <row r="48" spans="4:12">
      <c r="D48" s="14"/>
      <c r="E48" s="2" t="s">
        <v>55</v>
      </c>
      <c r="F48" s="26">
        <v>1.500148</v>
      </c>
      <c r="G48" s="26">
        <v>2.500267</v>
      </c>
      <c r="H48" s="26">
        <v>3.0003359999999999</v>
      </c>
      <c r="I48" s="26"/>
      <c r="J48" s="26">
        <v>1.500148</v>
      </c>
      <c r="K48" s="26">
        <v>2.500267</v>
      </c>
      <c r="L48" s="26">
        <v>3.0003359999999999</v>
      </c>
    </row>
    <row r="49" spans="4:12">
      <c r="D49" s="14"/>
      <c r="E49" s="2" t="s">
        <v>56</v>
      </c>
      <c r="F49" s="26">
        <v>-0.11168199999999999</v>
      </c>
      <c r="G49" s="26">
        <v>-0.27036399999999999</v>
      </c>
      <c r="H49" s="26">
        <v>-0.80546000000000006</v>
      </c>
      <c r="I49" s="26"/>
      <c r="J49" s="26">
        <v>0</v>
      </c>
      <c r="K49" s="26">
        <v>0</v>
      </c>
      <c r="L49" s="26">
        <v>0</v>
      </c>
    </row>
    <row r="50" spans="4:12">
      <c r="D50" s="14"/>
      <c r="E50" s="2" t="s">
        <v>57</v>
      </c>
      <c r="F50" s="26">
        <v>0</v>
      </c>
      <c r="G50" s="26">
        <v>0</v>
      </c>
      <c r="H50" s="26">
        <v>0.11919300000000001</v>
      </c>
      <c r="I50" s="26"/>
      <c r="J50" s="26">
        <v>4.8475999999999998E-2</v>
      </c>
      <c r="K50" s="26">
        <v>4.8475999999999998E-2</v>
      </c>
      <c r="L50" s="26">
        <v>4.8475999999999998E-2</v>
      </c>
    </row>
    <row r="51" spans="4:12">
      <c r="D51" s="14"/>
      <c r="E51" s="2" t="s">
        <v>58</v>
      </c>
      <c r="F51" s="26">
        <v>9.4044000000000008</v>
      </c>
      <c r="G51" s="26">
        <v>12.690545</v>
      </c>
      <c r="H51" s="26">
        <v>14.604691000000001</v>
      </c>
      <c r="I51" s="26"/>
      <c r="J51" s="26">
        <v>5.7257249999999997</v>
      </c>
      <c r="K51" s="26">
        <v>9.01187</v>
      </c>
      <c r="L51" s="26">
        <v>10.926016000000001</v>
      </c>
    </row>
    <row r="52" spans="4:12">
      <c r="D52" s="14"/>
      <c r="E52" s="2" t="s">
        <v>59</v>
      </c>
      <c r="F52" s="26">
        <v>98.499279000000001</v>
      </c>
      <c r="G52" s="26">
        <v>123.616331</v>
      </c>
      <c r="H52" s="26">
        <v>151.47846299999998</v>
      </c>
      <c r="I52" s="26"/>
      <c r="J52" s="26">
        <v>23.008700000000001</v>
      </c>
      <c r="K52" s="26">
        <v>36.433129000000001</v>
      </c>
      <c r="L52" s="26">
        <v>35.258243999999998</v>
      </c>
    </row>
    <row r="53" spans="4:12">
      <c r="D53" s="15"/>
      <c r="E53" s="2" t="s">
        <v>60</v>
      </c>
      <c r="F53" s="26">
        <v>2.0413999999999998E-2</v>
      </c>
      <c r="G53" s="26">
        <v>2.5063999999999999E-2</v>
      </c>
      <c r="H53" s="26">
        <v>-4.1304E-2</v>
      </c>
      <c r="I53" s="26"/>
      <c r="J53" s="26">
        <v>0</v>
      </c>
      <c r="K53" s="26">
        <v>0</v>
      </c>
      <c r="L53" s="26">
        <v>0</v>
      </c>
    </row>
    <row r="54" spans="4:12">
      <c r="D54" s="10" t="s">
        <v>61</v>
      </c>
      <c r="E54" s="2" t="s">
        <v>62</v>
      </c>
      <c r="F54" s="26">
        <v>289.74772400000001</v>
      </c>
      <c r="G54" s="26">
        <v>280.894273</v>
      </c>
      <c r="H54" s="26">
        <v>295.02154900000005</v>
      </c>
      <c r="I54" s="26"/>
      <c r="J54" s="26">
        <v>9.8123429999999985</v>
      </c>
      <c r="K54" s="26">
        <v>71.641622999999996</v>
      </c>
      <c r="L54" s="26">
        <v>1.467252</v>
      </c>
    </row>
    <row r="55" spans="4:12">
      <c r="D55" s="11"/>
      <c r="E55" s="2" t="s">
        <v>63</v>
      </c>
      <c r="F55" s="26">
        <v>248.89282200000002</v>
      </c>
      <c r="G55" s="26">
        <v>215.538692</v>
      </c>
      <c r="H55" s="26">
        <v>223.030879</v>
      </c>
      <c r="I55" s="26"/>
      <c r="J55" s="26">
        <v>9.6832639999999994</v>
      </c>
      <c r="K55" s="26">
        <v>70.262690000000006</v>
      </c>
      <c r="L55" s="26">
        <v>0</v>
      </c>
    </row>
    <row r="56" spans="4:12" ht="28">
      <c r="D56" s="11"/>
      <c r="E56" s="2" t="s">
        <v>64</v>
      </c>
      <c r="F56" s="26">
        <v>4.6822339999999993</v>
      </c>
      <c r="G56" s="26">
        <v>4.7361690000000003</v>
      </c>
      <c r="H56" s="26">
        <v>5.5161940000000005</v>
      </c>
      <c r="I56" s="26"/>
      <c r="J56" s="26">
        <v>5.4190999999999996E-2</v>
      </c>
      <c r="K56" s="26">
        <v>6.2412999999999996E-2</v>
      </c>
      <c r="L56" s="26">
        <v>7.5887999999999997E-2</v>
      </c>
    </row>
    <row r="57" spans="4:12">
      <c r="D57" s="11"/>
      <c r="E57" s="2" t="s">
        <v>65</v>
      </c>
      <c r="F57" s="26">
        <v>0.17657600000000001</v>
      </c>
      <c r="G57" s="26">
        <v>0.18764600000000001</v>
      </c>
      <c r="H57" s="26">
        <v>0.21928300000000001</v>
      </c>
      <c r="I57" s="26"/>
      <c r="J57" s="26">
        <v>0</v>
      </c>
      <c r="K57" s="26">
        <v>0</v>
      </c>
      <c r="L57" s="26">
        <v>0</v>
      </c>
    </row>
    <row r="58" spans="4:12">
      <c r="D58" s="11"/>
      <c r="E58" s="2" t="s">
        <v>66</v>
      </c>
      <c r="F58" s="26">
        <v>3.4446029999999999</v>
      </c>
      <c r="G58" s="26">
        <v>3.837825</v>
      </c>
      <c r="H58" s="26">
        <v>4.45329</v>
      </c>
      <c r="I58" s="26"/>
      <c r="J58" s="26">
        <v>0.90269599999999994</v>
      </c>
      <c r="K58" s="26">
        <v>0.85908899999999999</v>
      </c>
      <c r="L58" s="26">
        <v>0.93298799999999993</v>
      </c>
    </row>
    <row r="59" spans="4:12">
      <c r="D59" s="11"/>
      <c r="E59" s="2" t="s">
        <v>67</v>
      </c>
      <c r="F59" s="26">
        <v>2.170598</v>
      </c>
      <c r="G59" s="26">
        <v>2.1699919999999997</v>
      </c>
      <c r="H59" s="26">
        <v>2.548047</v>
      </c>
      <c r="I59" s="26"/>
      <c r="J59" s="26">
        <v>0</v>
      </c>
      <c r="K59" s="26">
        <v>0</v>
      </c>
      <c r="L59" s="26">
        <v>0</v>
      </c>
    </row>
    <row r="60" spans="4:12">
      <c r="D60" s="11"/>
      <c r="E60" s="2" t="s">
        <v>68</v>
      </c>
      <c r="F60" s="26">
        <v>7.8763619999999994</v>
      </c>
      <c r="G60" s="26">
        <v>7.0695309999999996</v>
      </c>
      <c r="H60" s="26">
        <v>4.6951739999999997</v>
      </c>
      <c r="I60" s="26"/>
      <c r="J60" s="26">
        <v>7.5500000000000003E-4</v>
      </c>
      <c r="K60" s="26">
        <v>0.10520999999999998</v>
      </c>
      <c r="L60" s="26">
        <v>4.5123000000000003E-2</v>
      </c>
    </row>
    <row r="61" spans="4:12">
      <c r="D61" s="11"/>
      <c r="E61" s="2" t="s">
        <v>69</v>
      </c>
      <c r="F61" s="26">
        <v>3.887953</v>
      </c>
      <c r="G61" s="26">
        <v>4.998024</v>
      </c>
      <c r="H61" s="26">
        <v>2.7901500000000001</v>
      </c>
      <c r="I61" s="26"/>
      <c r="J61" s="26">
        <v>1.0256999999999999E-2</v>
      </c>
      <c r="K61" s="26">
        <v>5.3689999999999996E-3</v>
      </c>
      <c r="L61" s="26">
        <v>2.2384999999999999E-2</v>
      </c>
    </row>
    <row r="62" spans="4:12">
      <c r="D62" s="11"/>
      <c r="E62" s="2" t="s">
        <v>70</v>
      </c>
      <c r="F62" s="26">
        <v>0</v>
      </c>
      <c r="G62" s="26">
        <v>0</v>
      </c>
      <c r="H62" s="26">
        <v>0</v>
      </c>
      <c r="I62" s="26"/>
      <c r="J62" s="26">
        <v>22</v>
      </c>
      <c r="K62" s="26">
        <v>32.6</v>
      </c>
      <c r="L62" s="26">
        <v>18.822443</v>
      </c>
    </row>
    <row r="63" spans="4:12" ht="42">
      <c r="D63" s="11"/>
      <c r="E63" s="2" t="s">
        <v>71</v>
      </c>
      <c r="F63" s="26">
        <v>0</v>
      </c>
      <c r="G63" s="26">
        <v>0</v>
      </c>
      <c r="H63" s="26">
        <v>0</v>
      </c>
      <c r="I63" s="26"/>
      <c r="J63" s="26">
        <v>0</v>
      </c>
      <c r="K63" s="26">
        <v>0</v>
      </c>
      <c r="L63" s="26">
        <v>0</v>
      </c>
    </row>
    <row r="64" spans="4:12">
      <c r="D64" s="11"/>
      <c r="E64" s="2" t="s">
        <v>72</v>
      </c>
      <c r="F64" s="26">
        <v>2.8822000000000004E-2</v>
      </c>
      <c r="G64" s="26">
        <v>-7.8436000000000006E-2</v>
      </c>
      <c r="H64" s="26">
        <v>-0.204596</v>
      </c>
      <c r="I64" s="26"/>
      <c r="J64" s="26">
        <v>9.4999999999999992E-5</v>
      </c>
      <c r="K64" s="26">
        <v>-9.9999999999999995E-7</v>
      </c>
      <c r="L64" s="26">
        <v>5.0000000000000004E-6</v>
      </c>
    </row>
    <row r="65" spans="4:12">
      <c r="D65" s="11"/>
      <c r="E65" s="2" t="s">
        <v>73</v>
      </c>
      <c r="F65" s="26">
        <v>-4.2110000000000003E-3</v>
      </c>
      <c r="G65" s="26">
        <v>0</v>
      </c>
      <c r="H65" s="26">
        <v>-1.193981</v>
      </c>
      <c r="I65" s="26"/>
      <c r="J65" s="26">
        <v>0</v>
      </c>
      <c r="K65" s="26">
        <v>0</v>
      </c>
      <c r="L65" s="26">
        <v>0</v>
      </c>
    </row>
    <row r="66" spans="4:12">
      <c r="D66" s="11"/>
      <c r="E66" s="2" t="s">
        <v>74</v>
      </c>
      <c r="F66" s="26">
        <v>0</v>
      </c>
      <c r="G66" s="26">
        <v>-8.1986000000000003E-2</v>
      </c>
      <c r="H66" s="26">
        <v>-1.2606000000000001E-2</v>
      </c>
      <c r="I66" s="26"/>
      <c r="J66" s="26">
        <v>0</v>
      </c>
      <c r="K66" s="26">
        <v>0</v>
      </c>
      <c r="L66" s="26">
        <v>0</v>
      </c>
    </row>
    <row r="67" spans="4:12">
      <c r="D67" s="11"/>
      <c r="E67" s="2" t="s">
        <v>75</v>
      </c>
      <c r="F67" s="26">
        <v>0.16286900000000001</v>
      </c>
      <c r="G67" s="26">
        <v>0.10903499999999999</v>
      </c>
      <c r="H67" s="26">
        <v>8.6302000000000004E-2</v>
      </c>
      <c r="I67" s="26"/>
      <c r="J67" s="26">
        <v>2.4000000000000001E-5</v>
      </c>
      <c r="K67" s="26">
        <v>0</v>
      </c>
      <c r="L67" s="26">
        <v>0</v>
      </c>
    </row>
    <row r="68" spans="4:12">
      <c r="D68" s="11"/>
      <c r="E68" s="2" t="s">
        <v>76</v>
      </c>
      <c r="F68" s="26">
        <v>6.2226999999999998E-2</v>
      </c>
      <c r="G68" s="26">
        <v>7.3797000000000001E-2</v>
      </c>
      <c r="H68" s="26">
        <v>9.7528000000000004E-2</v>
      </c>
      <c r="I68" s="26"/>
      <c r="J68" s="26">
        <v>2.2205000000000003E-2</v>
      </c>
      <c r="K68" s="26">
        <v>2E-3</v>
      </c>
      <c r="L68" s="26">
        <v>2E-3</v>
      </c>
    </row>
    <row r="69" spans="4:12">
      <c r="D69" s="11"/>
      <c r="E69" s="2" t="s">
        <v>77</v>
      </c>
      <c r="F69" s="26">
        <v>26.517734000000001</v>
      </c>
      <c r="G69" s="26">
        <v>52.227257999999999</v>
      </c>
      <c r="H69" s="26">
        <v>55.926423</v>
      </c>
      <c r="I69" s="26"/>
      <c r="J69" s="26">
        <v>21.159607999999999</v>
      </c>
      <c r="K69" s="26">
        <v>32.955587999999999</v>
      </c>
      <c r="L69" s="26">
        <v>19.256085000000002</v>
      </c>
    </row>
    <row r="70" spans="4:12">
      <c r="D70" s="11"/>
      <c r="E70" s="2" t="s">
        <v>78</v>
      </c>
      <c r="F70" s="26">
        <v>4.4626029999999997</v>
      </c>
      <c r="G70" s="26">
        <v>7.6685369999999997</v>
      </c>
      <c r="H70" s="26">
        <v>7.8141699999999998</v>
      </c>
      <c r="I70" s="26"/>
      <c r="J70" s="26">
        <v>-0.18829699999999999</v>
      </c>
      <c r="K70" s="26">
        <v>9.4133000000000008E-2</v>
      </c>
      <c r="L70" s="26">
        <v>0.11462699999999999</v>
      </c>
    </row>
    <row r="71" spans="4:12">
      <c r="D71" s="12"/>
      <c r="E71" s="6" t="s">
        <v>79</v>
      </c>
      <c r="F71" s="25">
        <v>22.055130999999999</v>
      </c>
      <c r="G71" s="25">
        <v>44.558721000000006</v>
      </c>
      <c r="H71" s="25">
        <v>48.112253000000003</v>
      </c>
      <c r="I71" s="25"/>
      <c r="J71" s="25">
        <v>21.347904999999997</v>
      </c>
      <c r="K71" s="25">
        <v>32.861454999999999</v>
      </c>
      <c r="L71" s="25">
        <v>19.141458</v>
      </c>
    </row>
    <row r="72" spans="4:12" ht="42">
      <c r="D72" s="10" t="s">
        <v>80</v>
      </c>
      <c r="E72" s="2" t="s">
        <v>81</v>
      </c>
      <c r="F72" s="26">
        <v>318.63</v>
      </c>
      <c r="G72" s="26">
        <v>313.91000000000003</v>
      </c>
      <c r="H72" s="26">
        <v>318.14</v>
      </c>
      <c r="I72" s="26"/>
      <c r="J72" s="26">
        <v>11.09</v>
      </c>
      <c r="K72" s="26">
        <v>80.37</v>
      </c>
      <c r="L72" s="26">
        <v>0</v>
      </c>
    </row>
    <row r="73" spans="4:12" ht="28">
      <c r="D73" s="11"/>
      <c r="E73" s="2" t="s">
        <v>82</v>
      </c>
      <c r="F73" s="26">
        <v>39.163350999999999</v>
      </c>
      <c r="G73" s="26">
        <v>52.201753000000004</v>
      </c>
      <c r="H73" s="26">
        <v>80.52843</v>
      </c>
      <c r="I73" s="26"/>
      <c r="J73" s="26">
        <v>-3.9457720000000003</v>
      </c>
      <c r="K73" s="26">
        <v>-15.284420000000001</v>
      </c>
      <c r="L73" s="26">
        <v>0.45628400000000002</v>
      </c>
    </row>
    <row r="74" spans="4:12" ht="28">
      <c r="D74" s="11"/>
      <c r="E74" s="2" t="s">
        <v>83</v>
      </c>
      <c r="F74" s="26">
        <v>-37.376781000000001</v>
      </c>
      <c r="G74" s="26">
        <v>-21.157933</v>
      </c>
      <c r="H74" s="26">
        <v>-15.863934</v>
      </c>
      <c r="I74" s="26"/>
      <c r="J74" s="26">
        <v>13.248953</v>
      </c>
      <c r="K74" s="26">
        <v>32.589048999999996</v>
      </c>
      <c r="L74" s="26">
        <v>18.821306</v>
      </c>
    </row>
    <row r="75" spans="4:12" ht="28">
      <c r="D75" s="11"/>
      <c r="E75" s="2" t="s">
        <v>84</v>
      </c>
      <c r="F75" s="26">
        <v>1.00274</v>
      </c>
      <c r="G75" s="26">
        <v>-35.759923999999998</v>
      </c>
      <c r="H75" s="26">
        <v>-64.492998999999998</v>
      </c>
      <c r="I75" s="26"/>
      <c r="J75" s="26">
        <v>-9.2973710000000001</v>
      </c>
      <c r="K75" s="26">
        <v>-17.265646</v>
      </c>
      <c r="L75" s="26">
        <v>-18.653129</v>
      </c>
    </row>
    <row r="76" spans="4:12">
      <c r="D76" s="12"/>
      <c r="E76" s="6" t="s">
        <v>85</v>
      </c>
      <c r="F76" s="25">
        <v>18.811067999999999</v>
      </c>
      <c r="G76" s="25">
        <v>14.080121999999999</v>
      </c>
      <c r="H76" s="25">
        <v>14.21599</v>
      </c>
      <c r="I76" s="25"/>
      <c r="J76" s="25">
        <v>5.3400999999999997E-2</v>
      </c>
      <c r="K76" s="25">
        <v>9.2383000000000007E-2</v>
      </c>
      <c r="L76" s="25">
        <v>0.71684499999999995</v>
      </c>
    </row>
    <row r="77" spans="4:12">
      <c r="D77" s="10" t="s">
        <v>86</v>
      </c>
      <c r="E77" s="2" t="s">
        <v>87</v>
      </c>
      <c r="F77" s="27">
        <v>0.57779999999999998</v>
      </c>
      <c r="G77" s="27">
        <v>0.52739999999999998</v>
      </c>
      <c r="H77" s="27">
        <v>0.45400000000000001</v>
      </c>
      <c r="I77" s="27"/>
      <c r="J77" s="27">
        <v>1E-4</v>
      </c>
      <c r="K77" s="27">
        <v>1.14E-2</v>
      </c>
      <c r="L77" s="27">
        <v>9.2999999999999992E-3</v>
      </c>
    </row>
    <row r="78" spans="4:12">
      <c r="D78" s="11"/>
      <c r="E78" s="2" t="s">
        <v>88</v>
      </c>
      <c r="F78" s="28">
        <v>0.87</v>
      </c>
      <c r="G78" s="28">
        <v>0.98</v>
      </c>
      <c r="H78" s="28">
        <v>1</v>
      </c>
      <c r="I78" s="29"/>
      <c r="J78" s="28">
        <v>23.94</v>
      </c>
      <c r="K78" s="28">
        <v>6.58</v>
      </c>
      <c r="L78" s="28">
        <v>28.53</v>
      </c>
    </row>
    <row r="79" spans="4:12">
      <c r="D79" s="11"/>
      <c r="E79" s="2" t="s">
        <v>89</v>
      </c>
      <c r="F79" s="28">
        <v>0.38</v>
      </c>
      <c r="G79" s="28">
        <v>0.48</v>
      </c>
      <c r="H79" s="28">
        <v>0.51</v>
      </c>
      <c r="I79" s="29"/>
      <c r="J79" s="28">
        <v>22.4</v>
      </c>
      <c r="K79" s="28">
        <v>5.64</v>
      </c>
      <c r="L79" s="28">
        <v>28.47</v>
      </c>
    </row>
    <row r="80" spans="4:12" ht="28">
      <c r="D80" s="11"/>
      <c r="E80" s="2" t="s">
        <v>90</v>
      </c>
      <c r="F80" s="30">
        <f t="shared" ref="F80:G80" si="0">F54/AVERAGE(E7,F7)</f>
        <v>57.060260637957441</v>
      </c>
      <c r="G80" s="30">
        <f t="shared" si="0"/>
        <v>70.358084112061746</v>
      </c>
      <c r="H80" s="30">
        <f>H54/AVERAGE(G7,H7)</f>
        <v>77.235755919851911</v>
      </c>
      <c r="I80" s="30"/>
      <c r="J80" s="28">
        <v>0</v>
      </c>
      <c r="K80" s="28">
        <v>1.98</v>
      </c>
      <c r="L80" s="28">
        <v>281.56</v>
      </c>
    </row>
    <row r="81" spans="4:12">
      <c r="D81" s="11"/>
      <c r="E81" s="2" t="s">
        <v>91</v>
      </c>
      <c r="F81" s="30">
        <f t="shared" ref="F81:H81" si="1">F55/AVERAGE(E11,F11)</f>
        <v>2.6080365448326397</v>
      </c>
      <c r="G81" s="30">
        <f t="shared" si="1"/>
        <v>2.3469910826047711</v>
      </c>
      <c r="H81" s="30">
        <f t="shared" si="1"/>
        <v>2.7859254099048134</v>
      </c>
      <c r="I81" s="30"/>
      <c r="J81" s="28">
        <v>0</v>
      </c>
      <c r="K81" s="28">
        <v>2.42</v>
      </c>
      <c r="L81" s="28"/>
    </row>
    <row r="82" spans="4:12">
      <c r="D82" s="11"/>
      <c r="E82" s="2" t="s">
        <v>92</v>
      </c>
      <c r="F82" s="27">
        <v>7.6100000000000001E-2</v>
      </c>
      <c r="G82" s="27">
        <v>0.15859999999999999</v>
      </c>
      <c r="H82" s="27">
        <v>0.16309999999999999</v>
      </c>
      <c r="I82" s="27"/>
      <c r="J82" s="27">
        <v>2.1756000000000002</v>
      </c>
      <c r="K82" s="27">
        <v>0.4587</v>
      </c>
      <c r="L82" s="27">
        <v>13.0458</v>
      </c>
    </row>
    <row r="83" spans="4:12">
      <c r="D83" s="11"/>
      <c r="E83" s="2" t="s">
        <v>93</v>
      </c>
      <c r="F83" s="27">
        <v>0.14099999999999999</v>
      </c>
      <c r="G83" s="27">
        <v>0.23269999999999999</v>
      </c>
      <c r="H83" s="27">
        <v>0.24399999999999999</v>
      </c>
      <c r="I83" s="27"/>
      <c r="J83" s="27">
        <v>1.32E-2</v>
      </c>
      <c r="K83" s="27">
        <v>1.9199999999999998E-2</v>
      </c>
      <c r="L83" s="27">
        <v>1</v>
      </c>
    </row>
    <row r="84" spans="4:12">
      <c r="D84" s="11"/>
      <c r="E84" s="2" t="s">
        <v>94</v>
      </c>
      <c r="F84" s="30">
        <f>SUM(F28,F29,F37)/F54</f>
        <v>0.64065604877710791</v>
      </c>
      <c r="G84" s="30">
        <f t="shared" ref="G84:L84" si="2">SUM(G28,G29,G37)/G54</f>
        <v>0.52988281466315268</v>
      </c>
      <c r="H84" s="30">
        <f t="shared" si="2"/>
        <v>0.40653735432729349</v>
      </c>
      <c r="I84" s="30"/>
      <c r="J84" s="30">
        <f t="shared" si="2"/>
        <v>0</v>
      </c>
      <c r="K84" s="30">
        <f t="shared" si="2"/>
        <v>0</v>
      </c>
      <c r="L84" s="30">
        <f t="shared" si="2"/>
        <v>4.6391485579845855E-2</v>
      </c>
    </row>
    <row r="85" spans="4:12">
      <c r="D85" s="12"/>
      <c r="E85" s="2" t="s">
        <v>95</v>
      </c>
      <c r="F85" s="30">
        <f>F72/F54</f>
        <v>1.099680769192168</v>
      </c>
      <c r="G85" s="30">
        <f t="shared" ref="G85:L85" si="3">G72/G54</f>
        <v>1.1175379143454449</v>
      </c>
      <c r="H85" s="30">
        <f t="shared" si="3"/>
        <v>1.0783619063704393</v>
      </c>
      <c r="I85" s="30"/>
      <c r="J85" s="30">
        <f t="shared" si="3"/>
        <v>1.1302091661492064</v>
      </c>
      <c r="K85" s="30">
        <f t="shared" si="3"/>
        <v>1.1218338814015982</v>
      </c>
      <c r="L85" s="30">
        <f t="shared" si="3"/>
        <v>0</v>
      </c>
    </row>
  </sheetData>
  <mergeCells count="9">
    <mergeCell ref="D54:D71"/>
    <mergeCell ref="D72:D76"/>
    <mergeCell ref="D77:D85"/>
    <mergeCell ref="D1:E2"/>
    <mergeCell ref="F1:I1"/>
    <mergeCell ref="J1:L1"/>
    <mergeCell ref="D3:D25"/>
    <mergeCell ref="D26:D44"/>
    <mergeCell ref="D45:D5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I23"/>
  <sheetViews>
    <sheetView workbookViewId="0">
      <selection activeCell="H29" sqref="H29"/>
    </sheetView>
  </sheetViews>
  <sheetFormatPr baseColWidth="10" defaultColWidth="11" defaultRowHeight="16"/>
  <sheetData>
    <row r="1" spans="4:9">
      <c r="D1" s="20" t="s">
        <v>0</v>
      </c>
      <c r="E1" s="21"/>
      <c r="F1" s="1" t="s">
        <v>3</v>
      </c>
      <c r="G1" s="1" t="s">
        <v>4</v>
      </c>
      <c r="H1" s="1" t="s">
        <v>5</v>
      </c>
      <c r="I1" s="1" t="s">
        <v>96</v>
      </c>
    </row>
    <row r="2" spans="4:9">
      <c r="D2" s="22" t="s">
        <v>97</v>
      </c>
      <c r="E2" s="2" t="s">
        <v>62</v>
      </c>
      <c r="F2" s="3"/>
      <c r="G2" s="3"/>
      <c r="H2" s="3"/>
      <c r="I2" s="3"/>
    </row>
    <row r="3" spans="4:9">
      <c r="D3" s="23"/>
      <c r="E3" s="2" t="s">
        <v>79</v>
      </c>
      <c r="F3" s="3"/>
      <c r="G3" s="3"/>
      <c r="H3" s="3"/>
      <c r="I3" s="3"/>
    </row>
    <row r="4" spans="4:9">
      <c r="D4" s="23"/>
      <c r="E4" s="2" t="s">
        <v>93</v>
      </c>
      <c r="F4" s="4"/>
      <c r="G4" s="4"/>
      <c r="H4" s="4"/>
      <c r="I4" s="4"/>
    </row>
    <row r="5" spans="4:9">
      <c r="D5" s="24"/>
      <c r="E5" s="2" t="s">
        <v>92</v>
      </c>
      <c r="F5" s="4"/>
      <c r="G5" s="4"/>
      <c r="H5" s="4"/>
      <c r="I5" s="4"/>
    </row>
    <row r="6" spans="4:9">
      <c r="D6" s="22" t="s">
        <v>98</v>
      </c>
      <c r="E6" s="2" t="s">
        <v>8</v>
      </c>
      <c r="F6" s="3"/>
      <c r="G6" s="3"/>
      <c r="H6" s="3"/>
      <c r="I6" s="3"/>
    </row>
    <row r="7" spans="4:9">
      <c r="D7" s="23"/>
      <c r="E7" s="2" t="s">
        <v>10</v>
      </c>
      <c r="F7" s="3"/>
      <c r="G7" s="3"/>
      <c r="H7" s="3"/>
      <c r="I7" s="3"/>
    </row>
    <row r="8" spans="4:9">
      <c r="D8" s="23"/>
      <c r="E8" s="2" t="s">
        <v>12</v>
      </c>
      <c r="F8" s="3"/>
      <c r="G8" s="3"/>
      <c r="H8" s="3"/>
      <c r="I8" s="3"/>
    </row>
    <row r="9" spans="4:9">
      <c r="D9" s="23"/>
      <c r="E9" s="2" t="s">
        <v>14</v>
      </c>
      <c r="F9" s="3"/>
      <c r="G9" s="3"/>
      <c r="H9" s="3"/>
      <c r="I9" s="3"/>
    </row>
    <row r="10" spans="4:9">
      <c r="D10" s="23"/>
      <c r="E10" s="2" t="s">
        <v>16</v>
      </c>
      <c r="F10" s="3"/>
      <c r="G10" s="3"/>
      <c r="H10" s="3"/>
      <c r="I10" s="3"/>
    </row>
    <row r="11" spans="4:9">
      <c r="D11" s="23"/>
      <c r="E11" s="2" t="s">
        <v>23</v>
      </c>
      <c r="F11" s="3"/>
      <c r="G11" s="3"/>
      <c r="H11" s="3"/>
      <c r="I11" s="3"/>
    </row>
    <row r="12" spans="4:9">
      <c r="D12" s="23"/>
      <c r="E12" s="2" t="s">
        <v>32</v>
      </c>
      <c r="F12" s="3"/>
      <c r="G12" s="3"/>
      <c r="H12" s="3"/>
      <c r="I12" s="3"/>
    </row>
    <row r="13" spans="4:9">
      <c r="D13" s="23"/>
      <c r="E13" s="2" t="s">
        <v>99</v>
      </c>
      <c r="F13" s="3"/>
      <c r="G13" s="3"/>
      <c r="H13" s="3"/>
      <c r="I13" s="3"/>
    </row>
    <row r="14" spans="4:9" ht="28">
      <c r="D14" s="23"/>
      <c r="E14" s="2" t="s">
        <v>100</v>
      </c>
      <c r="F14" s="3"/>
      <c r="G14" s="3"/>
      <c r="H14" s="3"/>
      <c r="I14" s="3"/>
    </row>
    <row r="15" spans="4:9">
      <c r="D15" s="23"/>
      <c r="E15" s="2" t="s">
        <v>36</v>
      </c>
      <c r="F15" s="3"/>
      <c r="G15" s="3"/>
      <c r="H15" s="3"/>
      <c r="I15" s="3"/>
    </row>
    <row r="16" spans="4:9">
      <c r="D16" s="23"/>
      <c r="E16" s="2" t="s">
        <v>41</v>
      </c>
      <c r="F16" s="3"/>
      <c r="G16" s="3"/>
      <c r="H16" s="3"/>
      <c r="I16" s="3"/>
    </row>
    <row r="17" spans="4:9">
      <c r="D17" s="23"/>
      <c r="E17" s="2" t="s">
        <v>52</v>
      </c>
      <c r="F17" s="3"/>
      <c r="G17" s="3"/>
      <c r="H17" s="3"/>
      <c r="I17" s="3"/>
    </row>
    <row r="18" spans="4:9">
      <c r="D18" s="23"/>
      <c r="E18" s="2" t="s">
        <v>87</v>
      </c>
      <c r="F18" s="4"/>
      <c r="G18" s="4"/>
      <c r="H18" s="4"/>
      <c r="I18" s="4"/>
    </row>
    <row r="19" spans="4:9" ht="28">
      <c r="D19" s="23"/>
      <c r="E19" s="2" t="s">
        <v>101</v>
      </c>
      <c r="F19" s="5"/>
      <c r="G19" s="5"/>
      <c r="H19" s="5"/>
      <c r="I19" s="5"/>
    </row>
    <row r="20" spans="4:9">
      <c r="D20" s="24"/>
      <c r="E20" s="2" t="s">
        <v>102</v>
      </c>
      <c r="F20" s="5"/>
      <c r="G20" s="5"/>
      <c r="H20" s="5"/>
      <c r="I20" s="5"/>
    </row>
    <row r="21" spans="4:9" ht="28">
      <c r="D21" s="22" t="s">
        <v>103</v>
      </c>
      <c r="E21" s="2" t="s">
        <v>82</v>
      </c>
      <c r="F21" s="3"/>
      <c r="G21" s="3"/>
      <c r="H21" s="3"/>
      <c r="I21" s="3"/>
    </row>
    <row r="22" spans="4:9" ht="42">
      <c r="D22" s="23"/>
      <c r="E22" s="2" t="s">
        <v>81</v>
      </c>
      <c r="F22" s="3"/>
      <c r="G22" s="3"/>
      <c r="H22" s="3"/>
      <c r="I22" s="3"/>
    </row>
    <row r="23" spans="4:9">
      <c r="D23" s="24"/>
      <c r="E23" s="2" t="s">
        <v>95</v>
      </c>
      <c r="F23" s="3"/>
      <c r="G23" s="3"/>
      <c r="H23" s="3"/>
      <c r="I23" s="3"/>
    </row>
  </sheetData>
  <mergeCells count="4">
    <mergeCell ref="D1:E1"/>
    <mergeCell ref="D2:D5"/>
    <mergeCell ref="D6:D20"/>
    <mergeCell ref="D21:D2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财报及财务指标</vt:lpstr>
      <vt:lpstr>简版财报（使用财务及财务指标sheet里的合并口径数据填充）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Jingyan Gu</dc:creator>
  <cp:lastModifiedBy>Jingyan Gu</cp:lastModifiedBy>
  <dcterms:created xsi:type="dcterms:W3CDTF">2026-06-15T21:32:00Z</dcterms:created>
  <dcterms:modified xsi:type="dcterms:W3CDTF">2026-06-15T14:06:03Z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689CCB7E320EF2C31606306AAE661223_42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